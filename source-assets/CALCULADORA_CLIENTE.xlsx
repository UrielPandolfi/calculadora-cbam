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alimgarcia/Desktop/BAFFLER/01 BAFFLER/CLIENTES/COLDWELL BANKER/FRANQUICIAS/CBAM/CALCULADORA/"/>
    </mc:Choice>
  </mc:AlternateContent>
  <xr:revisionPtr revIDLastSave="0" documentId="13_ncr:1_{61BC6D17-4393-154B-ACBD-79201A4D8EB1}" xr6:coauthVersionLast="47" xr6:coauthVersionMax="47" xr10:uidLastSave="{00000000-0000-0000-0000-000000000000}"/>
  <bookViews>
    <workbookView xWindow="-2440" yWindow="-18140" windowWidth="29880" windowHeight="15460" xr2:uid="{00000000-000D-0000-FFFF-FFFF00000000}"/>
  </bookViews>
  <sheets>
    <sheet name="CALCULADORA" sheetId="1" r:id="rId1"/>
    <sheet name="PARÁMETR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 s="1"/>
  <c r="J6" i="1"/>
</calcChain>
</file>

<file path=xl/sharedStrings.xml><?xml version="1.0" encoding="utf-8"?>
<sst xmlns="http://schemas.openxmlformats.org/spreadsheetml/2006/main" count="49" uniqueCount="45">
  <si>
    <t>CALCULADORA DE INVERSIÓN Y RETORNO</t>
  </si>
  <si>
    <t>Selecciona una opción en cada campo. Los resultados se actualizan automáticamente.</t>
  </si>
  <si>
    <t>FEE DE ENTRADA</t>
  </si>
  <si>
    <t>OPERACIONES PARA ROI</t>
  </si>
  <si>
    <t>CRECIMIENTO MÍNIMO EN IBC</t>
  </si>
  <si>
    <t>1. Productividad anual en comisiones</t>
  </si>
  <si>
    <t>2. Renta mensual actual</t>
  </si>
  <si>
    <t>Menos de $500,000</t>
  </si>
  <si>
    <t>No pago renta</t>
  </si>
  <si>
    <t>El FEE incluye cuota inicial, acondicionamiento y una reserva equivalente a 6 meses de gastos operativos.</t>
  </si>
  <si>
    <t>3. Gastos operativos mensuales</t>
  </si>
  <si>
    <t>4. Valor promedio de las propiedades</t>
  </si>
  <si>
    <t>Operaciones para ROI = inversión estimada ÷ comisión estimada por operación.</t>
  </si>
  <si>
    <t>De $3 a $5 MDP</t>
  </si>
  <si>
    <t>Nota: Los resultados son estimaciones comerciales y pueden ajustarse con información financiera específica del proyecto.</t>
  </si>
  <si>
    <t>Productividad anual en comisiones</t>
  </si>
  <si>
    <t>Cuota inicial</t>
  </si>
  <si>
    <t>Crecimiento esperado en IBC</t>
  </si>
  <si>
    <t>Renta actual</t>
  </si>
  <si>
    <t>Acondicionamiento</t>
  </si>
  <si>
    <t>Gasto operativo mensual</t>
  </si>
  <si>
    <t>Reserva 6 meses</t>
  </si>
  <si>
    <t>Valor promedio de propiedades</t>
  </si>
  <si>
    <t>Comisión estimada por operación</t>
  </si>
  <si>
    <t>Menos de $3 MDP</t>
  </si>
  <si>
    <t>De $500,000 a $750,000</t>
  </si>
  <si>
    <t>Menos de $20,000</t>
  </si>
  <si>
    <t>De $30,000 a $50,000</t>
  </si>
  <si>
    <t>De $750,001 a $1,000,000</t>
  </si>
  <si>
    <t>De $20,000 a $30,000</t>
  </si>
  <si>
    <t>De $50,001 a $60,000</t>
  </si>
  <si>
    <t>De $5 a $7 MDP</t>
  </si>
  <si>
    <t>De $1,000,001 a $1,500,000</t>
  </si>
  <si>
    <t>Más de $30,000</t>
  </si>
  <si>
    <t>Más de $60,000</t>
  </si>
  <si>
    <t>De $7 a $10 MDP</t>
  </si>
  <si>
    <t>De $1,500,001 a $3,000,000</t>
  </si>
  <si>
    <t>Más de $10 MDP</t>
  </si>
  <si>
    <t>De $3,000,000 a $5 MDP</t>
  </si>
  <si>
    <t>Más de $5 MDP</t>
  </si>
  <si>
    <t>REVISIÓN PERSONALIZADA</t>
  </si>
  <si>
    <t>CÁLCULO ESPECIAL</t>
  </si>
  <si>
    <t>DATOS DEL CLIENTE (Información que debe brindar el cliente)</t>
  </si>
  <si>
    <t>INFORMACIÓN QUE ARROJA LA CALCULADORA</t>
  </si>
  <si>
    <t>Menos de $30,000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</si>
</sst>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8">
    <font>
      <sz val="11"/>
      <name val="Carlito"/>
    </font>
    <font>
      <b/>
      <sz val="11"/>
      <color rgb="FFFFFFFF"/>
      <name val="Carlito"/>
    </font>
    <font>
      <sz val="11"/>
      <color rgb="FF374151"/>
      <name val="Carlito"/>
    </font>
    <font>
      <b/>
      <sz val="11"/>
      <color rgb="FF003B71"/>
      <name val="Carlito"/>
    </font>
    <font>
      <b/>
      <sz val="11"/>
      <color rgb="FF111827"/>
      <name val="Carlito"/>
    </font>
    <font>
      <sz val="11"/>
      <color rgb="FF4B5563"/>
      <name val="Carlito"/>
    </font>
    <font>
      <i/>
      <sz val="11"/>
      <color rgb="FF6B7280"/>
      <name val="Carlito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003B71"/>
      </patternFill>
    </fill>
    <fill>
      <patternFill patternType="solid">
        <fgColor rgb="FFEAF2F8"/>
      </patternFill>
    </fill>
    <fill>
      <patternFill patternType="solid">
        <fgColor rgb="FFDCEAF7"/>
      </patternFill>
    </fill>
    <fill>
      <patternFill patternType="solid">
        <fgColor rgb="FFFFF4CC"/>
      </patternFill>
    </fill>
    <fill>
      <patternFill patternType="solid">
        <fgColor rgb="FF4F86C6"/>
      </patternFill>
    </fill>
    <fill>
      <patternFill patternType="solid">
        <fgColor rgb="FFE9F7EF"/>
      </patternFill>
    </fill>
    <fill>
      <patternFill patternType="solid">
        <fgColor rgb="FFF5F7FA"/>
      </patternFill>
    </fill>
    <fill>
      <patternFill patternType="solid">
        <fgColor rgb="FFF3F4F6"/>
      </patternFill>
    </fill>
  </fills>
  <borders count="38">
    <border>
      <left/>
      <right/>
      <top/>
      <bottom/>
      <diagonal/>
    </border>
    <border>
      <left style="medium">
        <color rgb="FFD6A500"/>
      </left>
      <right/>
      <top style="medium">
        <color rgb="FFD6A500"/>
      </top>
      <bottom style="medium">
        <color rgb="FFD6A500"/>
      </bottom>
      <diagonal/>
    </border>
    <border>
      <left/>
      <right/>
      <top style="medium">
        <color rgb="FFD6A500"/>
      </top>
      <bottom style="medium">
        <color rgb="FFD6A500"/>
      </bottom>
      <diagonal/>
    </border>
    <border>
      <left/>
      <right style="medium">
        <color rgb="FFD6A500"/>
      </right>
      <top style="medium">
        <color rgb="FFD6A500"/>
      </top>
      <bottom style="medium">
        <color rgb="FFD6A500"/>
      </bottom>
      <diagonal/>
    </border>
    <border>
      <left style="thin">
        <color rgb="FFD7E1EA"/>
      </left>
      <right style="thin">
        <color rgb="FFD7E1EA"/>
      </right>
      <top style="thin">
        <color rgb="FFD7E1EA"/>
      </top>
      <bottom style="thin">
        <color rgb="FFD7E1EA"/>
      </bottom>
      <diagonal/>
    </border>
    <border>
      <left/>
      <right/>
      <top style="thin">
        <color rgb="FFD7E1EA"/>
      </top>
      <bottom/>
      <diagonal/>
    </border>
    <border>
      <left/>
      <right style="thin">
        <color rgb="FFD7E1EA"/>
      </right>
      <top/>
      <bottom/>
      <diagonal/>
    </border>
    <border>
      <left/>
      <right/>
      <top/>
      <bottom style="thin">
        <color rgb="FFD7E1EA"/>
      </bottom>
      <diagonal/>
    </border>
    <border>
      <left/>
      <right style="thin">
        <color rgb="FFD7E1EA"/>
      </right>
      <top/>
      <bottom style="thin">
        <color rgb="FFD7E1EA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/>
      <top style="medium">
        <color rgb="FFD6A500"/>
      </top>
      <bottom style="medium">
        <color rgb="FFD6A500"/>
      </bottom>
      <diagonal/>
    </border>
    <border>
      <left/>
      <right style="medium">
        <color theme="8" tint="-0.249977111117893"/>
      </right>
      <top style="medium">
        <color rgb="FFD6A500"/>
      </top>
      <bottom style="medium">
        <color rgb="FFD6A500"/>
      </bottom>
      <diagonal/>
    </border>
    <border>
      <left style="medium">
        <color theme="8" tint="-0.249977111117893"/>
      </left>
      <right/>
      <top style="medium">
        <color rgb="FFD6A500"/>
      </top>
      <bottom style="medium">
        <color theme="8" tint="-0.249977111117893"/>
      </bottom>
      <diagonal/>
    </border>
    <border>
      <left/>
      <right/>
      <top style="medium">
        <color rgb="FFD6A500"/>
      </top>
      <bottom style="medium">
        <color theme="8" tint="-0.249977111117893"/>
      </bottom>
      <diagonal/>
    </border>
    <border>
      <left/>
      <right style="medium">
        <color rgb="FFD6A500"/>
      </right>
      <top style="medium">
        <color rgb="FFD6A500"/>
      </top>
      <bottom style="medium">
        <color theme="8" tint="-0.249977111117893"/>
      </bottom>
      <diagonal/>
    </border>
    <border>
      <left style="medium">
        <color rgb="FFD6A500"/>
      </left>
      <right/>
      <top style="medium">
        <color rgb="FFD6A500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rgb="FFD6A500"/>
      </top>
      <bottom style="medium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thin">
        <color rgb="FFD7E1EA"/>
      </bottom>
      <diagonal/>
    </border>
    <border>
      <left/>
      <right/>
      <top style="medium">
        <color theme="8" tint="-0.249977111117893"/>
      </top>
      <bottom style="thin">
        <color rgb="FFD7E1EA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thin">
        <color rgb="FFD7E1EA"/>
      </bottom>
      <diagonal/>
    </border>
    <border>
      <left style="medium">
        <color theme="8" tint="-0.249977111117893"/>
      </left>
      <right style="thin">
        <color rgb="FFD7E1EA"/>
      </right>
      <top style="thin">
        <color rgb="FFD7E1EA"/>
      </top>
      <bottom style="thin">
        <color rgb="FFD7E1EA"/>
      </bottom>
      <diagonal/>
    </border>
    <border>
      <left style="thin">
        <color rgb="FFD7E1EA"/>
      </left>
      <right style="medium">
        <color theme="8" tint="-0.249977111117893"/>
      </right>
      <top style="thin">
        <color rgb="FFD7E1EA"/>
      </top>
      <bottom style="thin">
        <color rgb="FFD7E1EA"/>
      </bottom>
      <diagonal/>
    </border>
    <border>
      <left style="medium">
        <color theme="8" tint="-0.249977111117893"/>
      </left>
      <right style="medium">
        <color rgb="FF2E7D32"/>
      </right>
      <top style="medium">
        <color rgb="FF2E7D32"/>
      </top>
      <bottom style="medium">
        <color theme="8" tint="-0.249977111117893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theme="8" tint="-0.249977111117893"/>
      </bottom>
      <diagonal/>
    </border>
    <border>
      <left style="medium">
        <color rgb="FF2E7D32"/>
      </left>
      <right style="medium">
        <color theme="8" tint="-0.249977111117893"/>
      </right>
      <top style="medium">
        <color rgb="FF2E7D32"/>
      </top>
      <bottom style="medium">
        <color theme="8" tint="-0.24997711111789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6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64" fontId="2" fillId="0" borderId="10" xfId="0" applyNumberFormat="1" applyFont="1" applyBorder="1"/>
    <xf numFmtId="164" fontId="2" fillId="0" borderId="13" xfId="0" applyNumberFormat="1" applyFont="1" applyBorder="1"/>
    <xf numFmtId="164" fontId="2" fillId="0" borderId="11" xfId="0" applyNumberFormat="1" applyFont="1" applyBorder="1"/>
    <xf numFmtId="164" fontId="2" fillId="0" borderId="14" xfId="0" applyNumberFormat="1" applyFont="1" applyBorder="1"/>
    <xf numFmtId="0" fontId="1" fillId="2" borderId="1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1" fillId="6" borderId="3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164" fontId="3" fillId="7" borderId="35" xfId="0" applyNumberFormat="1" applyFont="1" applyFill="1" applyBorder="1" applyAlignment="1">
      <alignment horizontal="center" vertical="center"/>
    </xf>
    <xf numFmtId="165" fontId="3" fillId="7" borderId="36" xfId="0" applyNumberFormat="1" applyFont="1" applyFill="1" applyBorder="1" applyAlignment="1">
      <alignment horizontal="center" vertical="center"/>
    </xf>
    <xf numFmtId="164" fontId="3" fillId="7" borderId="37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22" xfId="0" applyFont="1" applyFill="1" applyBorder="1" applyAlignment="1">
      <alignment vertical="center" wrapText="1"/>
    </xf>
    <xf numFmtId="0" fontId="4" fillId="5" borderId="25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J16"/>
  <sheetViews>
    <sheetView showGridLines="0" tabSelected="1" zoomScale="90" workbookViewId="0">
      <selection activeCell="D9" sqref="D9:F9"/>
    </sheetView>
  </sheetViews>
  <sheetFormatPr baseColWidth="10" defaultColWidth="8.83203125" defaultRowHeight="14"/>
  <cols>
    <col min="1" max="5" width="14" customWidth="1"/>
    <col min="6" max="6" width="16.1640625" customWidth="1"/>
    <col min="7" max="7" width="21" customWidth="1"/>
    <col min="8" max="9" width="25.6640625" bestFit="1" customWidth="1"/>
    <col min="10" max="10" width="19.33203125" bestFit="1" customWidth="1"/>
  </cols>
  <sheetData>
    <row r="1" spans="1:10" ht="30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2" spans="1:10" ht="24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</row>
    <row r="3" spans="1:10" ht="36" customHeight="1" thickBot="1"/>
    <row r="4" spans="1:10" ht="30" customHeight="1">
      <c r="A4" s="45" t="s">
        <v>42</v>
      </c>
      <c r="B4" s="46"/>
      <c r="C4" s="46"/>
      <c r="D4" s="46"/>
      <c r="E4" s="15"/>
      <c r="F4" s="16"/>
      <c r="H4" s="47" t="s">
        <v>43</v>
      </c>
      <c r="I4" s="48"/>
      <c r="J4" s="49"/>
    </row>
    <row r="5" spans="1:10" ht="30" customHeight="1" thickBot="1">
      <c r="A5" s="35" t="s">
        <v>5</v>
      </c>
      <c r="B5" s="36"/>
      <c r="C5" s="36"/>
      <c r="D5" s="36" t="s">
        <v>6</v>
      </c>
      <c r="E5" s="36"/>
      <c r="F5" s="37"/>
      <c r="H5" s="19" t="s">
        <v>2</v>
      </c>
      <c r="I5" s="1" t="s">
        <v>3</v>
      </c>
      <c r="J5" s="20" t="s">
        <v>4</v>
      </c>
    </row>
    <row r="6" spans="1:10" ht="38" customHeight="1" thickBot="1">
      <c r="A6" s="30" t="s">
        <v>28</v>
      </c>
      <c r="B6" s="31"/>
      <c r="C6" s="32"/>
      <c r="D6" s="33" t="s">
        <v>8</v>
      </c>
      <c r="E6" s="31"/>
      <c r="F6" s="34"/>
      <c r="H6" s="21">
        <f>IF(OR(A6="",D6="",A9=""),"",IF(A6="Más de $5 MDP","REVISIÓN PERSONALIZADA",VLOOKUP(A6,PARÁMETROS!$A$2:$C$8,2,FALSE)+VLOOKUP(D6,PARÁMETROS!$D$2:$E$5,2,FALSE)+VLOOKUP(A9,PARÁMETROS!$F$2:$G$5,2,FALSE)))</f>
        <v>1190000</v>
      </c>
      <c r="I6" s="22">
        <f>IF(A6="Más de $5 MDP","REVISIÓN PERSONALIZADA",IFERROR(H6/VLOOKUP(D9,PARÁMETROS!$H$2:$I$6,2,FALSE),""))</f>
        <v>15.866666666666667</v>
      </c>
      <c r="J6" s="23">
        <f>IFERROR(VLOOKUP(A6,PARÁMETROS!$A$2:$C$8,3,FALSE),"")</f>
        <v>2400000</v>
      </c>
    </row>
    <row r="7" spans="1:10">
      <c r="A7" s="17"/>
      <c r="F7" s="18"/>
    </row>
    <row r="8" spans="1:10" ht="38" customHeight="1" thickBot="1">
      <c r="A8" s="35" t="s">
        <v>10</v>
      </c>
      <c r="B8" s="36"/>
      <c r="C8" s="36"/>
      <c r="D8" s="36" t="s">
        <v>11</v>
      </c>
      <c r="E8" s="36"/>
      <c r="F8" s="37"/>
    </row>
    <row r="9" spans="1:10" ht="38" customHeight="1" thickBot="1">
      <c r="A9" s="38" t="s">
        <v>30</v>
      </c>
      <c r="B9" s="39"/>
      <c r="C9" s="40"/>
      <c r="D9" s="41" t="s">
        <v>24</v>
      </c>
      <c r="E9" s="39"/>
      <c r="F9" s="42"/>
    </row>
    <row r="12" spans="1:10" ht="34" customHeight="1">
      <c r="A12" s="29" t="s">
        <v>14</v>
      </c>
      <c r="B12" s="29"/>
      <c r="C12" s="29"/>
      <c r="D12" s="29"/>
      <c r="E12" s="29"/>
      <c r="F12" s="29"/>
      <c r="G12" s="29"/>
      <c r="H12" s="29"/>
      <c r="I12" s="29"/>
    </row>
    <row r="13" spans="1:10">
      <c r="A13" s="24" t="s">
        <v>9</v>
      </c>
      <c r="B13" s="25"/>
      <c r="C13" s="26"/>
    </row>
    <row r="14" spans="1:10">
      <c r="A14" s="25"/>
      <c r="B14" s="25"/>
      <c r="C14" s="26"/>
    </row>
    <row r="15" spans="1:10">
      <c r="A15" s="25" t="s">
        <v>12</v>
      </c>
      <c r="B15" s="25"/>
      <c r="C15" s="26"/>
    </row>
    <row r="16" spans="1:10">
      <c r="A16" s="27"/>
      <c r="B16" s="27"/>
      <c r="C16" s="28"/>
    </row>
  </sheetData>
  <mergeCells count="15">
    <mergeCell ref="A1:I1"/>
    <mergeCell ref="A2:I2"/>
    <mergeCell ref="A4:D4"/>
    <mergeCell ref="A5:C5"/>
    <mergeCell ref="D5:F5"/>
    <mergeCell ref="H4:J4"/>
    <mergeCell ref="A13:C14"/>
    <mergeCell ref="A15:C16"/>
    <mergeCell ref="A12:I12"/>
    <mergeCell ref="A6:C6"/>
    <mergeCell ref="D6:F6"/>
    <mergeCell ref="A8:C8"/>
    <mergeCell ref="D8:F8"/>
    <mergeCell ref="A9:C9"/>
    <mergeCell ref="D9:F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PARÁMETROS!$A$2:$A$8</xm:f>
          </x14:formula1>
          <xm:sqref>A6</xm:sqref>
        </x14:dataValidation>
        <x14:dataValidation type="list" xr:uid="{00000000-0002-0000-0000-000001000000}">
          <x14:formula1>
            <xm:f>PARÁMETROS!$D$2:$D$5</xm:f>
          </x14:formula1>
          <xm:sqref>D6</xm:sqref>
        </x14:dataValidation>
        <x14:dataValidation type="list" xr:uid="{00000000-0002-0000-0000-000002000000}">
          <x14:formula1>
            <xm:f>PARÁMETROS!$F$2:$F$5</xm:f>
          </x14:formula1>
          <xm:sqref>A9</xm:sqref>
        </x14:dataValidation>
        <x14:dataValidation type="list" xr:uid="{00000000-0002-0000-0000-000003000000}">
          <x14:formula1>
            <xm:f>PARÁMETROS!$H$2:$H$6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8"/>
  <sheetViews>
    <sheetView showGridLines="0" workbookViewId="0">
      <selection activeCell="F3" sqref="F3"/>
    </sheetView>
  </sheetViews>
  <sheetFormatPr baseColWidth="10" defaultColWidth="8.83203125" defaultRowHeight="14"/>
  <cols>
    <col min="1" max="9" width="23" customWidth="1"/>
  </cols>
  <sheetData>
    <row r="1" spans="1:9" ht="42" customHeigh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>
      <c r="A2" s="3" t="s">
        <v>7</v>
      </c>
      <c r="B2" s="11">
        <v>450000</v>
      </c>
      <c r="C2" s="11">
        <v>1500000</v>
      </c>
      <c r="D2" s="4" t="s">
        <v>8</v>
      </c>
      <c r="E2" s="11">
        <v>300000</v>
      </c>
      <c r="F2" s="4" t="s">
        <v>44</v>
      </c>
      <c r="G2" s="11">
        <v>600000</v>
      </c>
      <c r="H2" s="4" t="s">
        <v>24</v>
      </c>
      <c r="I2" s="13">
        <v>75000</v>
      </c>
    </row>
    <row r="3" spans="1:9">
      <c r="A3" s="5" t="s">
        <v>25</v>
      </c>
      <c r="B3" s="12">
        <v>400000</v>
      </c>
      <c r="C3" s="12">
        <v>1800000</v>
      </c>
      <c r="D3" s="6" t="s">
        <v>26</v>
      </c>
      <c r="E3" s="12">
        <v>80000</v>
      </c>
      <c r="F3" s="6" t="s">
        <v>27</v>
      </c>
      <c r="G3" s="12">
        <v>480000</v>
      </c>
      <c r="H3" s="6" t="s">
        <v>13</v>
      </c>
      <c r="I3" s="14">
        <v>200000</v>
      </c>
    </row>
    <row r="4" spans="1:9">
      <c r="A4" s="5" t="s">
        <v>28</v>
      </c>
      <c r="B4" s="12">
        <v>350000</v>
      </c>
      <c r="C4" s="12">
        <v>2400000</v>
      </c>
      <c r="D4" s="6" t="s">
        <v>29</v>
      </c>
      <c r="E4" s="12">
        <v>80000</v>
      </c>
      <c r="F4" s="6" t="s">
        <v>30</v>
      </c>
      <c r="G4" s="12">
        <v>540000</v>
      </c>
      <c r="H4" s="6" t="s">
        <v>31</v>
      </c>
      <c r="I4" s="14">
        <v>300000</v>
      </c>
    </row>
    <row r="5" spans="1:9">
      <c r="A5" s="5" t="s">
        <v>32</v>
      </c>
      <c r="B5" s="12">
        <v>300000</v>
      </c>
      <c r="C5" s="12">
        <v>2000000</v>
      </c>
      <c r="D5" s="6" t="s">
        <v>33</v>
      </c>
      <c r="E5" s="12">
        <v>80000</v>
      </c>
      <c r="F5" s="6" t="s">
        <v>34</v>
      </c>
      <c r="G5" s="12">
        <v>600000</v>
      </c>
      <c r="H5" s="6" t="s">
        <v>35</v>
      </c>
      <c r="I5" s="14">
        <v>450000</v>
      </c>
    </row>
    <row r="6" spans="1:9">
      <c r="A6" s="5" t="s">
        <v>36</v>
      </c>
      <c r="B6" s="12">
        <v>250000</v>
      </c>
      <c r="C6" s="12">
        <v>3000000</v>
      </c>
      <c r="D6" s="6"/>
      <c r="E6" s="6"/>
      <c r="F6" s="6"/>
      <c r="G6" s="6"/>
      <c r="H6" s="6" t="s">
        <v>37</v>
      </c>
      <c r="I6" s="14">
        <v>500000</v>
      </c>
    </row>
    <row r="7" spans="1:9">
      <c r="A7" s="5" t="s">
        <v>38</v>
      </c>
      <c r="B7" s="12">
        <v>200000</v>
      </c>
      <c r="C7" s="12">
        <v>6000000</v>
      </c>
      <c r="D7" s="6"/>
      <c r="E7" s="6"/>
      <c r="F7" s="6"/>
      <c r="G7" s="6"/>
      <c r="H7" s="6"/>
      <c r="I7" s="7"/>
    </row>
    <row r="8" spans="1:9">
      <c r="A8" s="8" t="s">
        <v>39</v>
      </c>
      <c r="B8" s="9" t="s">
        <v>40</v>
      </c>
      <c r="C8" s="9" t="s">
        <v>41</v>
      </c>
      <c r="D8" s="9"/>
      <c r="E8" s="9"/>
      <c r="F8" s="9"/>
      <c r="G8" s="9"/>
      <c r="H8" s="9"/>
      <c r="I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CALCULADORA</vt:lpstr>
      <vt:lpstr>PARÁMETROS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Ríos</dc:creator>
  <cp:lastModifiedBy>Salim Garcia</cp:lastModifiedBy>
  <dcterms:created xsi:type="dcterms:W3CDTF">2026-09-07T22:40:44Z</dcterms:created>
  <dcterms:modified xsi:type="dcterms:W3CDTF">2026-09-22T01:20:07Z</dcterms:modified>
</cp:coreProperties>
</file>